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408"/>
  <workbookPr showInkAnnotation="0"/>
  <mc:AlternateContent xmlns:mc="http://schemas.openxmlformats.org/markup-compatibility/2006">
    <mc:Choice Requires="x15">
      <x15ac:absPath xmlns:x15ac="http://schemas.microsoft.com/office/spreadsheetml/2010/11/ac" url="/Users/achibrandy/Documents/McHacks2017/"/>
    </mc:Choice>
  </mc:AlternateContent>
  <bookViews>
    <workbookView xWindow="640" yWindow="1180" windowWidth="24960" windowHeight="13880" tabRatio="500"/>
  </bookViews>
  <sheets>
    <sheet name="train_with_analysis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1" l="1"/>
  <c r="N3" i="1"/>
  <c r="S3" i="1"/>
  <c r="R3" i="1"/>
  <c r="V3" i="1"/>
  <c r="T3" i="1"/>
  <c r="S4" i="1"/>
  <c r="R4" i="1"/>
  <c r="P3" i="1"/>
  <c r="O4" i="1"/>
  <c r="N4" i="1"/>
</calcChain>
</file>

<file path=xl/sharedStrings.xml><?xml version="1.0" encoding="utf-8"?>
<sst xmlns="http://schemas.openxmlformats.org/spreadsheetml/2006/main" count="27" uniqueCount="18">
  <si>
    <t>% Dead</t>
  </si>
  <si>
    <t>% Survived</t>
  </si>
  <si>
    <t>Embarked</t>
  </si>
  <si>
    <t>Grand Total</t>
  </si>
  <si>
    <t>Fares</t>
  </si>
  <si>
    <t>C</t>
  </si>
  <si>
    <t>Q</t>
  </si>
  <si>
    <t>S</t>
  </si>
  <si>
    <t>Sex</t>
  </si>
  <si>
    <t>female</t>
  </si>
  <si>
    <t>male</t>
  </si>
  <si>
    <t>Sibsp</t>
  </si>
  <si>
    <t>Parch</t>
  </si>
  <si>
    <t>Pclass</t>
  </si>
  <si>
    <t>Fare Below 80</t>
  </si>
  <si>
    <t>Fare above 80</t>
  </si>
  <si>
    <t>Fare Below 60</t>
  </si>
  <si>
    <t>Fare above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</si>
</sst>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50"/>
  <sheetViews>
    <sheetView tabSelected="1" topLeftCell="J1" workbookViewId="0">
      <selection activeCell="R3" sqref="R3"/>
    </sheetView>
  </sheetViews>
  <sheetFormatPr baseColWidth="10" defaultRowHeight="16" x14ac:dyDescent="0.2"/>
  <sheetData>
    <row r="1" spans="1:22" x14ac:dyDescent="0.2">
      <c r="F1" t="s">
        <v>0</v>
      </c>
      <c r="G1" t="s">
        <v>1</v>
      </c>
      <c r="N1" t="s">
        <v>0</v>
      </c>
      <c r="O1" t="s">
        <v>1</v>
      </c>
      <c r="R1" t="s">
        <v>0</v>
      </c>
      <c r="S1" t="s">
        <v>1</v>
      </c>
    </row>
    <row r="2" spans="1:22" x14ac:dyDescent="0.2">
      <c r="A2" t="s">
        <v>2</v>
      </c>
      <c r="B2">
        <v>0</v>
      </c>
      <c r="C2">
        <v>1</v>
      </c>
      <c r="D2" t="s">
        <v>3</v>
      </c>
      <c r="I2" t="s">
        <v>4</v>
      </c>
      <c r="J2">
        <v>0</v>
      </c>
      <c r="K2">
        <v>1</v>
      </c>
      <c r="L2" t="s">
        <v>3</v>
      </c>
      <c r="N2" s="2" t="s">
        <v>16</v>
      </c>
      <c r="O2" s="2"/>
      <c r="R2" s="2" t="s">
        <v>17</v>
      </c>
      <c r="S2" s="2"/>
    </row>
    <row r="3" spans="1:22" x14ac:dyDescent="0.2">
      <c r="A3" t="s">
        <v>5</v>
      </c>
      <c r="B3">
        <v>75</v>
      </c>
      <c r="C3">
        <v>93</v>
      </c>
      <c r="D3">
        <v>168</v>
      </c>
      <c r="F3" s="1">
        <v>0.45</v>
      </c>
      <c r="G3" s="1">
        <v>0.55000000000000004</v>
      </c>
      <c r="I3">
        <v>0</v>
      </c>
      <c r="J3">
        <v>14</v>
      </c>
      <c r="K3">
        <v>1</v>
      </c>
      <c r="L3">
        <v>15</v>
      </c>
      <c r="N3">
        <f>SUMIF($I3:$I250,"&lt;=60",J3:J250)</f>
        <v>509</v>
      </c>
      <c r="O3">
        <f>SUMIF($I3:$I250,"&lt;=60",K3:K250)</f>
        <v>260</v>
      </c>
      <c r="P3">
        <f>SUM(N3:O3)</f>
        <v>769</v>
      </c>
      <c r="R3">
        <f>SUMIF($I3:$I250,"&gt;60",J3:J250)</f>
        <v>40</v>
      </c>
      <c r="S3">
        <f>SUMIF($I3:$I250,"&gt;60",K3:K250)</f>
        <v>82</v>
      </c>
      <c r="T3">
        <f>SUM(R3:S3)</f>
        <v>122</v>
      </c>
      <c r="V3">
        <f>(N3+O3+R3+S3)</f>
        <v>891</v>
      </c>
    </row>
    <row r="4" spans="1:22" x14ac:dyDescent="0.2">
      <c r="A4" t="s">
        <v>6</v>
      </c>
      <c r="B4">
        <v>47</v>
      </c>
      <c r="C4">
        <v>30</v>
      </c>
      <c r="D4">
        <v>77</v>
      </c>
      <c r="F4" s="1">
        <v>0.61</v>
      </c>
      <c r="G4" s="1">
        <v>0.39</v>
      </c>
      <c r="I4">
        <v>4.0125000000000002</v>
      </c>
      <c r="J4">
        <v>1</v>
      </c>
      <c r="L4">
        <v>1</v>
      </c>
      <c r="N4" s="1">
        <f>N3/P3</f>
        <v>0.66189856957087123</v>
      </c>
      <c r="O4" s="1">
        <f>O3/P3</f>
        <v>0.33810143042912871</v>
      </c>
      <c r="R4" s="1">
        <f>R3/T3</f>
        <v>0.32786885245901637</v>
      </c>
      <c r="S4" s="1">
        <f>S3/T3</f>
        <v>0.67213114754098358</v>
      </c>
    </row>
    <row r="5" spans="1:22" x14ac:dyDescent="0.2">
      <c r="A5" t="s">
        <v>7</v>
      </c>
      <c r="B5">
        <v>427</v>
      </c>
      <c r="C5">
        <v>217</v>
      </c>
      <c r="D5">
        <v>644</v>
      </c>
      <c r="F5" s="1">
        <v>0.66</v>
      </c>
      <c r="G5" s="1">
        <v>0.34</v>
      </c>
      <c r="I5">
        <v>5</v>
      </c>
      <c r="J5">
        <v>1</v>
      </c>
      <c r="L5">
        <v>1</v>
      </c>
    </row>
    <row r="6" spans="1:22" x14ac:dyDescent="0.2">
      <c r="I6">
        <v>6.2374999999999998</v>
      </c>
      <c r="J6">
        <v>1</v>
      </c>
      <c r="L6">
        <v>1</v>
      </c>
    </row>
    <row r="7" spans="1:22" x14ac:dyDescent="0.2">
      <c r="I7">
        <v>6.4375</v>
      </c>
      <c r="J7">
        <v>1</v>
      </c>
      <c r="L7">
        <v>1</v>
      </c>
    </row>
    <row r="8" spans="1:22" x14ac:dyDescent="0.2">
      <c r="A8" t="s">
        <v>8</v>
      </c>
      <c r="B8">
        <v>0</v>
      </c>
      <c r="C8">
        <v>1</v>
      </c>
      <c r="D8" t="s">
        <v>3</v>
      </c>
      <c r="I8">
        <v>6.45</v>
      </c>
      <c r="J8">
        <v>1</v>
      </c>
      <c r="L8">
        <v>1</v>
      </c>
    </row>
    <row r="9" spans="1:22" x14ac:dyDescent="0.2">
      <c r="A9" t="s">
        <v>9</v>
      </c>
      <c r="B9">
        <v>81</v>
      </c>
      <c r="C9">
        <v>233</v>
      </c>
      <c r="D9">
        <v>314</v>
      </c>
      <c r="F9" s="1">
        <v>0.26</v>
      </c>
      <c r="G9" s="1">
        <v>0.74</v>
      </c>
      <c r="I9">
        <v>6.4958</v>
      </c>
      <c r="J9">
        <v>2</v>
      </c>
      <c r="L9">
        <v>2</v>
      </c>
    </row>
    <row r="10" spans="1:22" x14ac:dyDescent="0.2">
      <c r="A10" t="s">
        <v>10</v>
      </c>
      <c r="B10">
        <v>468</v>
      </c>
      <c r="C10">
        <v>109</v>
      </c>
      <c r="D10">
        <v>577</v>
      </c>
      <c r="F10" s="1">
        <v>0.81</v>
      </c>
      <c r="G10" s="1">
        <v>0.19</v>
      </c>
      <c r="I10">
        <v>6.75</v>
      </c>
      <c r="J10">
        <v>2</v>
      </c>
      <c r="L10">
        <v>2</v>
      </c>
    </row>
    <row r="11" spans="1:22" x14ac:dyDescent="0.2">
      <c r="I11">
        <v>6.8582999999999998</v>
      </c>
      <c r="J11">
        <v>1</v>
      </c>
      <c r="L11">
        <v>1</v>
      </c>
    </row>
    <row r="12" spans="1:22" x14ac:dyDescent="0.2">
      <c r="I12">
        <v>6.95</v>
      </c>
      <c r="J12">
        <v>1</v>
      </c>
      <c r="L12">
        <v>1</v>
      </c>
    </row>
    <row r="13" spans="1:22" x14ac:dyDescent="0.2">
      <c r="I13">
        <v>6.9749999999999996</v>
      </c>
      <c r="J13">
        <v>1</v>
      </c>
      <c r="K13">
        <v>1</v>
      </c>
      <c r="L13">
        <v>2</v>
      </c>
    </row>
    <row r="14" spans="1:22" x14ac:dyDescent="0.2">
      <c r="I14">
        <v>7.0457999999999998</v>
      </c>
      <c r="J14">
        <v>1</v>
      </c>
      <c r="L14">
        <v>1</v>
      </c>
    </row>
    <row r="15" spans="1:22" x14ac:dyDescent="0.2">
      <c r="A15" t="s">
        <v>11</v>
      </c>
      <c r="B15">
        <v>0</v>
      </c>
      <c r="C15">
        <v>1</v>
      </c>
      <c r="D15" t="s">
        <v>3</v>
      </c>
      <c r="I15">
        <v>7.05</v>
      </c>
      <c r="J15">
        <v>7</v>
      </c>
      <c r="L15">
        <v>7</v>
      </c>
    </row>
    <row r="16" spans="1:22" x14ac:dyDescent="0.2">
      <c r="A16">
        <v>0</v>
      </c>
      <c r="B16">
        <v>398</v>
      </c>
      <c r="C16">
        <v>210</v>
      </c>
      <c r="D16">
        <v>608</v>
      </c>
      <c r="F16" s="1">
        <v>0.65</v>
      </c>
      <c r="G16" s="1">
        <v>0.35</v>
      </c>
      <c r="I16">
        <v>7.0541999999999998</v>
      </c>
      <c r="J16">
        <v>2</v>
      </c>
      <c r="L16">
        <v>2</v>
      </c>
    </row>
    <row r="17" spans="1:12" x14ac:dyDescent="0.2">
      <c r="A17">
        <v>1</v>
      </c>
      <c r="B17">
        <v>97</v>
      </c>
      <c r="C17">
        <v>112</v>
      </c>
      <c r="D17">
        <v>209</v>
      </c>
      <c r="F17" s="1">
        <v>0.46</v>
      </c>
      <c r="G17" s="1">
        <v>0.54</v>
      </c>
      <c r="I17">
        <v>7.125</v>
      </c>
      <c r="J17">
        <v>4</v>
      </c>
      <c r="L17">
        <v>4</v>
      </c>
    </row>
    <row r="18" spans="1:12" x14ac:dyDescent="0.2">
      <c r="A18">
        <v>2</v>
      </c>
      <c r="B18">
        <v>15</v>
      </c>
      <c r="C18">
        <v>13</v>
      </c>
      <c r="D18">
        <v>28</v>
      </c>
      <c r="F18" s="1">
        <v>0.54</v>
      </c>
      <c r="G18" s="1">
        <v>0.46</v>
      </c>
      <c r="I18">
        <v>7.1417000000000002</v>
      </c>
      <c r="K18">
        <v>1</v>
      </c>
      <c r="L18">
        <v>1</v>
      </c>
    </row>
    <row r="19" spans="1:12" x14ac:dyDescent="0.2">
      <c r="A19">
        <v>3</v>
      </c>
      <c r="B19">
        <v>12</v>
      </c>
      <c r="C19">
        <v>4</v>
      </c>
      <c r="D19">
        <v>16</v>
      </c>
      <c r="F19" s="1">
        <v>0.75</v>
      </c>
      <c r="G19" s="1">
        <v>0.25</v>
      </c>
      <c r="I19">
        <v>7.2249999999999996</v>
      </c>
      <c r="J19">
        <v>9</v>
      </c>
      <c r="K19">
        <v>3</v>
      </c>
      <c r="L19">
        <v>12</v>
      </c>
    </row>
    <row r="20" spans="1:12" x14ac:dyDescent="0.2">
      <c r="A20">
        <v>4</v>
      </c>
      <c r="B20">
        <v>15</v>
      </c>
      <c r="C20">
        <v>3</v>
      </c>
      <c r="D20">
        <v>18</v>
      </c>
      <c r="F20" s="1">
        <v>0.83</v>
      </c>
      <c r="G20" s="1">
        <v>0.17</v>
      </c>
      <c r="I20">
        <v>7.2291999999999996</v>
      </c>
      <c r="J20">
        <v>11</v>
      </c>
      <c r="K20">
        <v>4</v>
      </c>
      <c r="L20">
        <v>15</v>
      </c>
    </row>
    <row r="21" spans="1:12" x14ac:dyDescent="0.2">
      <c r="A21">
        <v>5</v>
      </c>
      <c r="B21">
        <v>5</v>
      </c>
      <c r="D21">
        <v>5</v>
      </c>
      <c r="F21" s="1">
        <v>1</v>
      </c>
      <c r="G21" s="1">
        <v>0</v>
      </c>
      <c r="I21">
        <v>7.25</v>
      </c>
      <c r="J21">
        <v>12</v>
      </c>
      <c r="K21">
        <v>1</v>
      </c>
      <c r="L21">
        <v>13</v>
      </c>
    </row>
    <row r="22" spans="1:12" x14ac:dyDescent="0.2">
      <c r="A22">
        <v>8</v>
      </c>
      <c r="B22">
        <v>7</v>
      </c>
      <c r="D22">
        <v>7</v>
      </c>
      <c r="F22" s="1">
        <v>1</v>
      </c>
      <c r="G22" s="1">
        <v>0</v>
      </c>
      <c r="I22">
        <v>7.3125</v>
      </c>
      <c r="J22">
        <v>1</v>
      </c>
      <c r="L22">
        <v>1</v>
      </c>
    </row>
    <row r="23" spans="1:12" x14ac:dyDescent="0.2">
      <c r="I23">
        <v>7.4958</v>
      </c>
      <c r="J23">
        <v>2</v>
      </c>
      <c r="K23">
        <v>1</v>
      </c>
      <c r="L23">
        <v>3</v>
      </c>
    </row>
    <row r="24" spans="1:12" x14ac:dyDescent="0.2">
      <c r="I24">
        <v>7.5208000000000004</v>
      </c>
      <c r="J24">
        <v>1</v>
      </c>
      <c r="L24">
        <v>1</v>
      </c>
    </row>
    <row r="25" spans="1:12" x14ac:dyDescent="0.2">
      <c r="I25">
        <v>7.55</v>
      </c>
      <c r="J25">
        <v>3</v>
      </c>
      <c r="K25">
        <v>1</v>
      </c>
      <c r="L25">
        <v>4</v>
      </c>
    </row>
    <row r="26" spans="1:12" x14ac:dyDescent="0.2">
      <c r="A26" t="s">
        <v>12</v>
      </c>
      <c r="B26">
        <v>0</v>
      </c>
      <c r="C26">
        <v>1</v>
      </c>
      <c r="D26" t="s">
        <v>3</v>
      </c>
      <c r="I26">
        <v>7.6292</v>
      </c>
      <c r="J26">
        <v>1</v>
      </c>
      <c r="L26">
        <v>1</v>
      </c>
    </row>
    <row r="27" spans="1:12" x14ac:dyDescent="0.2">
      <c r="A27">
        <v>0</v>
      </c>
      <c r="B27">
        <v>445</v>
      </c>
      <c r="C27">
        <v>233</v>
      </c>
      <c r="D27">
        <v>678</v>
      </c>
      <c r="F27" s="1">
        <v>0.66</v>
      </c>
      <c r="G27" s="1">
        <v>0.34</v>
      </c>
      <c r="I27">
        <v>7.65</v>
      </c>
      <c r="J27">
        <v>3</v>
      </c>
      <c r="K27">
        <v>1</v>
      </c>
      <c r="L27">
        <v>4</v>
      </c>
    </row>
    <row r="28" spans="1:12" x14ac:dyDescent="0.2">
      <c r="A28">
        <v>1</v>
      </c>
      <c r="B28">
        <v>53</v>
      </c>
      <c r="C28">
        <v>65</v>
      </c>
      <c r="D28">
        <v>118</v>
      </c>
      <c r="F28" s="1">
        <v>0.45</v>
      </c>
      <c r="G28" s="1">
        <v>0.55000000000000004</v>
      </c>
      <c r="I28">
        <v>7.7249999999999996</v>
      </c>
      <c r="J28">
        <v>1</v>
      </c>
      <c r="L28">
        <v>1</v>
      </c>
    </row>
    <row r="29" spans="1:12" x14ac:dyDescent="0.2">
      <c r="A29">
        <v>2</v>
      </c>
      <c r="B29">
        <v>40</v>
      </c>
      <c r="C29">
        <v>40</v>
      </c>
      <c r="D29">
        <v>80</v>
      </c>
      <c r="F29" s="1">
        <v>0.5</v>
      </c>
      <c r="G29" s="1">
        <v>0.5</v>
      </c>
      <c r="I29">
        <v>7.7291999999999996</v>
      </c>
      <c r="J29">
        <v>1</v>
      </c>
      <c r="L29">
        <v>1</v>
      </c>
    </row>
    <row r="30" spans="1:12" x14ac:dyDescent="0.2">
      <c r="A30">
        <v>3</v>
      </c>
      <c r="B30">
        <v>2</v>
      </c>
      <c r="C30">
        <v>3</v>
      </c>
      <c r="D30">
        <v>5</v>
      </c>
      <c r="F30" s="1">
        <v>0.4</v>
      </c>
      <c r="G30" s="1">
        <v>0.6</v>
      </c>
      <c r="I30">
        <v>7.7332999999999998</v>
      </c>
      <c r="J30">
        <v>2</v>
      </c>
      <c r="K30">
        <v>2</v>
      </c>
      <c r="L30">
        <v>4</v>
      </c>
    </row>
    <row r="31" spans="1:12" x14ac:dyDescent="0.2">
      <c r="A31">
        <v>4</v>
      </c>
      <c r="B31">
        <v>4</v>
      </c>
      <c r="D31">
        <v>4</v>
      </c>
      <c r="F31" s="1">
        <v>1</v>
      </c>
      <c r="G31" s="1">
        <v>0</v>
      </c>
      <c r="I31">
        <v>7.7374999999999998</v>
      </c>
      <c r="J31">
        <v>1</v>
      </c>
      <c r="K31">
        <v>1</v>
      </c>
      <c r="L31">
        <v>2</v>
      </c>
    </row>
    <row r="32" spans="1:12" x14ac:dyDescent="0.2">
      <c r="A32">
        <v>5</v>
      </c>
      <c r="B32">
        <v>4</v>
      </c>
      <c r="C32">
        <v>1</v>
      </c>
      <c r="D32">
        <v>5</v>
      </c>
      <c r="F32" s="1">
        <v>0.8</v>
      </c>
      <c r="G32" s="1">
        <v>0.2</v>
      </c>
      <c r="I32">
        <v>7.7416999999999998</v>
      </c>
      <c r="J32">
        <v>1</v>
      </c>
      <c r="L32">
        <v>1</v>
      </c>
    </row>
    <row r="33" spans="1:12" x14ac:dyDescent="0.2">
      <c r="A33">
        <v>6</v>
      </c>
      <c r="B33">
        <v>1</v>
      </c>
      <c r="D33">
        <v>1</v>
      </c>
      <c r="F33" s="1">
        <v>1</v>
      </c>
      <c r="G33" s="1">
        <v>0</v>
      </c>
      <c r="I33">
        <v>7.75</v>
      </c>
      <c r="J33">
        <v>22</v>
      </c>
      <c r="K33">
        <v>12</v>
      </c>
      <c r="L33">
        <v>34</v>
      </c>
    </row>
    <row r="34" spans="1:12" x14ac:dyDescent="0.2">
      <c r="I34">
        <v>7.7750000000000004</v>
      </c>
      <c r="J34">
        <v>13</v>
      </c>
      <c r="K34">
        <v>3</v>
      </c>
      <c r="L34">
        <v>16</v>
      </c>
    </row>
    <row r="35" spans="1:12" x14ac:dyDescent="0.2">
      <c r="I35">
        <v>7.7874999999999996</v>
      </c>
      <c r="K35">
        <v>1</v>
      </c>
      <c r="L35">
        <v>1</v>
      </c>
    </row>
    <row r="36" spans="1:12" x14ac:dyDescent="0.2">
      <c r="I36">
        <v>7.7957999999999998</v>
      </c>
      <c r="J36">
        <v>4</v>
      </c>
      <c r="K36">
        <v>2</v>
      </c>
      <c r="L36">
        <v>6</v>
      </c>
    </row>
    <row r="37" spans="1:12" x14ac:dyDescent="0.2">
      <c r="A37" t="s">
        <v>13</v>
      </c>
      <c r="B37">
        <v>0</v>
      </c>
      <c r="C37">
        <v>1</v>
      </c>
      <c r="D37" t="s">
        <v>3</v>
      </c>
      <c r="I37">
        <v>7.8</v>
      </c>
      <c r="J37">
        <v>1</v>
      </c>
      <c r="L37">
        <v>1</v>
      </c>
    </row>
    <row r="38" spans="1:12" x14ac:dyDescent="0.2">
      <c r="A38">
        <v>1</v>
      </c>
      <c r="B38">
        <v>80</v>
      </c>
      <c r="C38">
        <v>136</v>
      </c>
      <c r="D38">
        <v>216</v>
      </c>
      <c r="F38" s="1">
        <v>0.37</v>
      </c>
      <c r="G38" s="1">
        <v>0.63</v>
      </c>
      <c r="I38">
        <v>7.8292000000000002</v>
      </c>
      <c r="J38">
        <v>1</v>
      </c>
      <c r="K38">
        <v>1</v>
      </c>
      <c r="L38">
        <v>2</v>
      </c>
    </row>
    <row r="39" spans="1:12" x14ac:dyDescent="0.2">
      <c r="A39">
        <v>2</v>
      </c>
      <c r="B39">
        <v>97</v>
      </c>
      <c r="C39">
        <v>87</v>
      </c>
      <c r="D39">
        <v>184</v>
      </c>
      <c r="F39" s="1">
        <v>0.53</v>
      </c>
      <c r="G39" s="1">
        <v>0.47</v>
      </c>
      <c r="I39">
        <v>7.8541999999999996</v>
      </c>
      <c r="J39">
        <v>10</v>
      </c>
      <c r="K39">
        <v>3</v>
      </c>
      <c r="L39">
        <v>13</v>
      </c>
    </row>
    <row r="40" spans="1:12" x14ac:dyDescent="0.2">
      <c r="A40">
        <v>3</v>
      </c>
      <c r="B40">
        <v>372</v>
      </c>
      <c r="C40">
        <v>119</v>
      </c>
      <c r="D40">
        <v>491</v>
      </c>
      <c r="F40" s="1">
        <v>0.76</v>
      </c>
      <c r="G40" s="1">
        <v>0.24</v>
      </c>
      <c r="I40">
        <v>7.875</v>
      </c>
      <c r="J40">
        <v>1</v>
      </c>
      <c r="L40">
        <v>1</v>
      </c>
    </row>
    <row r="41" spans="1:12" x14ac:dyDescent="0.2">
      <c r="I41">
        <v>7.8792</v>
      </c>
      <c r="K41">
        <v>4</v>
      </c>
      <c r="L41">
        <v>4</v>
      </c>
    </row>
    <row r="42" spans="1:12" x14ac:dyDescent="0.2">
      <c r="I42">
        <v>7.8875000000000002</v>
      </c>
      <c r="J42">
        <v>1</v>
      </c>
      <c r="L42">
        <v>1</v>
      </c>
    </row>
    <row r="43" spans="1:12" x14ac:dyDescent="0.2">
      <c r="I43">
        <v>7.8958000000000004</v>
      </c>
      <c r="J43">
        <v>37</v>
      </c>
      <c r="K43">
        <v>1</v>
      </c>
      <c r="L43">
        <v>38</v>
      </c>
    </row>
    <row r="44" spans="1:12" x14ac:dyDescent="0.2">
      <c r="I44">
        <v>7.9249999999999998</v>
      </c>
      <c r="J44">
        <v>10</v>
      </c>
      <c r="K44">
        <v>8</v>
      </c>
      <c r="L44">
        <v>18</v>
      </c>
    </row>
    <row r="45" spans="1:12" x14ac:dyDescent="0.2">
      <c r="I45">
        <v>8.0291999999999994</v>
      </c>
      <c r="K45">
        <v>1</v>
      </c>
      <c r="L45">
        <v>1</v>
      </c>
    </row>
    <row r="46" spans="1:12" x14ac:dyDescent="0.2">
      <c r="I46">
        <v>8.0500000000000007</v>
      </c>
      <c r="J46">
        <v>38</v>
      </c>
      <c r="K46">
        <v>5</v>
      </c>
      <c r="L46">
        <v>43</v>
      </c>
    </row>
    <row r="47" spans="1:12" x14ac:dyDescent="0.2">
      <c r="I47">
        <v>8.1125000000000007</v>
      </c>
      <c r="K47">
        <v>1</v>
      </c>
      <c r="L47">
        <v>1</v>
      </c>
    </row>
    <row r="48" spans="1:12" x14ac:dyDescent="0.2">
      <c r="I48">
        <v>8.1374999999999993</v>
      </c>
      <c r="J48">
        <v>1</v>
      </c>
      <c r="L48">
        <v>1</v>
      </c>
    </row>
    <row r="49" spans="9:12" x14ac:dyDescent="0.2">
      <c r="I49">
        <v>8.1583000000000006</v>
      </c>
      <c r="J49">
        <v>1</v>
      </c>
      <c r="L49">
        <v>1</v>
      </c>
    </row>
    <row r="50" spans="9:12" x14ac:dyDescent="0.2">
      <c r="I50">
        <v>8.3000000000000007</v>
      </c>
      <c r="J50">
        <v>1</v>
      </c>
      <c r="L50">
        <v>1</v>
      </c>
    </row>
    <row r="51" spans="9:12" x14ac:dyDescent="0.2">
      <c r="I51">
        <v>8.3625000000000007</v>
      </c>
      <c r="J51">
        <v>1</v>
      </c>
      <c r="L51">
        <v>1</v>
      </c>
    </row>
    <row r="52" spans="9:12" x14ac:dyDescent="0.2">
      <c r="I52">
        <v>8.4041999999999994</v>
      </c>
      <c r="J52">
        <v>1</v>
      </c>
      <c r="L52">
        <v>1</v>
      </c>
    </row>
    <row r="53" spans="9:12" x14ac:dyDescent="0.2">
      <c r="I53">
        <v>8.4332999999999991</v>
      </c>
      <c r="J53">
        <v>1</v>
      </c>
      <c r="L53">
        <v>1</v>
      </c>
    </row>
    <row r="54" spans="9:12" x14ac:dyDescent="0.2">
      <c r="I54">
        <v>8.4582999999999995</v>
      </c>
      <c r="J54">
        <v>1</v>
      </c>
      <c r="L54">
        <v>1</v>
      </c>
    </row>
    <row r="55" spans="9:12" x14ac:dyDescent="0.2">
      <c r="I55">
        <v>8.5167000000000002</v>
      </c>
      <c r="K55">
        <v>1</v>
      </c>
      <c r="L55">
        <v>1</v>
      </c>
    </row>
    <row r="56" spans="9:12" x14ac:dyDescent="0.2">
      <c r="I56">
        <v>8.6541999999999994</v>
      </c>
      <c r="J56">
        <v>1</v>
      </c>
      <c r="L56">
        <v>1</v>
      </c>
    </row>
    <row r="57" spans="9:12" x14ac:dyDescent="0.2">
      <c r="I57">
        <v>8.6624999999999996</v>
      </c>
      <c r="J57">
        <v>12</v>
      </c>
      <c r="K57">
        <v>1</v>
      </c>
      <c r="L57">
        <v>13</v>
      </c>
    </row>
    <row r="58" spans="9:12" x14ac:dyDescent="0.2">
      <c r="I58">
        <v>8.6832999999999991</v>
      </c>
      <c r="K58">
        <v>1</v>
      </c>
      <c r="L58">
        <v>1</v>
      </c>
    </row>
    <row r="59" spans="9:12" x14ac:dyDescent="0.2">
      <c r="I59">
        <v>8.7125000000000004</v>
      </c>
      <c r="J59">
        <v>1</v>
      </c>
      <c r="L59">
        <v>1</v>
      </c>
    </row>
    <row r="60" spans="9:12" x14ac:dyDescent="0.2">
      <c r="I60">
        <v>8.85</v>
      </c>
      <c r="J60">
        <v>1</v>
      </c>
      <c r="L60">
        <v>1</v>
      </c>
    </row>
    <row r="61" spans="9:12" x14ac:dyDescent="0.2">
      <c r="I61">
        <v>9</v>
      </c>
      <c r="J61">
        <v>2</v>
      </c>
      <c r="L61">
        <v>2</v>
      </c>
    </row>
    <row r="62" spans="9:12" x14ac:dyDescent="0.2">
      <c r="I62">
        <v>9.2166999999999994</v>
      </c>
      <c r="J62">
        <v>1</v>
      </c>
      <c r="L62">
        <v>1</v>
      </c>
    </row>
    <row r="63" spans="9:12" x14ac:dyDescent="0.2">
      <c r="I63">
        <v>9.2249999999999996</v>
      </c>
      <c r="J63">
        <v>2</v>
      </c>
      <c r="L63">
        <v>2</v>
      </c>
    </row>
    <row r="64" spans="9:12" x14ac:dyDescent="0.2">
      <c r="I64">
        <v>9.35</v>
      </c>
      <c r="J64">
        <v>1</v>
      </c>
      <c r="K64">
        <v>1</v>
      </c>
      <c r="L64">
        <v>2</v>
      </c>
    </row>
    <row r="65" spans="9:12" x14ac:dyDescent="0.2">
      <c r="I65">
        <v>9.4749999999999996</v>
      </c>
      <c r="J65">
        <v>1</v>
      </c>
      <c r="L65">
        <v>1</v>
      </c>
    </row>
    <row r="66" spans="9:12" x14ac:dyDescent="0.2">
      <c r="I66">
        <v>9.4832999999999998</v>
      </c>
      <c r="J66">
        <v>1</v>
      </c>
      <c r="L66">
        <v>1</v>
      </c>
    </row>
    <row r="67" spans="9:12" x14ac:dyDescent="0.2">
      <c r="I67">
        <v>9.5</v>
      </c>
      <c r="J67">
        <v>7</v>
      </c>
      <c r="K67">
        <v>2</v>
      </c>
      <c r="L67">
        <v>9</v>
      </c>
    </row>
    <row r="68" spans="9:12" x14ac:dyDescent="0.2">
      <c r="I68">
        <v>9.5875000000000004</v>
      </c>
      <c r="J68">
        <v>1</v>
      </c>
      <c r="K68">
        <v>1</v>
      </c>
      <c r="L68">
        <v>2</v>
      </c>
    </row>
    <row r="69" spans="9:12" x14ac:dyDescent="0.2">
      <c r="I69">
        <v>9.8249999999999993</v>
      </c>
      <c r="J69">
        <v>2</v>
      </c>
      <c r="L69">
        <v>2</v>
      </c>
    </row>
    <row r="70" spans="9:12" x14ac:dyDescent="0.2">
      <c r="I70">
        <v>9.8375000000000004</v>
      </c>
      <c r="J70">
        <v>1</v>
      </c>
      <c r="L70">
        <v>1</v>
      </c>
    </row>
    <row r="71" spans="9:12" x14ac:dyDescent="0.2">
      <c r="I71">
        <v>9.8416999999999994</v>
      </c>
      <c r="K71">
        <v>1</v>
      </c>
      <c r="L71">
        <v>1</v>
      </c>
    </row>
    <row r="72" spans="9:12" x14ac:dyDescent="0.2">
      <c r="I72">
        <v>9.8458000000000006</v>
      </c>
      <c r="J72">
        <v>1</v>
      </c>
      <c r="L72">
        <v>1</v>
      </c>
    </row>
    <row r="73" spans="9:12" x14ac:dyDescent="0.2">
      <c r="I73">
        <v>10.1708</v>
      </c>
      <c r="J73">
        <v>1</v>
      </c>
      <c r="L73">
        <v>1</v>
      </c>
    </row>
    <row r="74" spans="9:12" x14ac:dyDescent="0.2">
      <c r="I74">
        <v>10.4625</v>
      </c>
      <c r="J74">
        <v>2</v>
      </c>
      <c r="L74">
        <v>2</v>
      </c>
    </row>
    <row r="75" spans="9:12" x14ac:dyDescent="0.2">
      <c r="I75">
        <v>10.5</v>
      </c>
      <c r="J75">
        <v>15</v>
      </c>
      <c r="K75">
        <v>9</v>
      </c>
      <c r="L75">
        <v>24</v>
      </c>
    </row>
    <row r="76" spans="9:12" x14ac:dyDescent="0.2">
      <c r="I76">
        <v>10.5167</v>
      </c>
      <c r="J76">
        <v>1</v>
      </c>
      <c r="L76">
        <v>1</v>
      </c>
    </row>
    <row r="77" spans="9:12" x14ac:dyDescent="0.2">
      <c r="I77">
        <v>11.1333</v>
      </c>
      <c r="K77">
        <v>3</v>
      </c>
      <c r="L77">
        <v>3</v>
      </c>
    </row>
    <row r="78" spans="9:12" x14ac:dyDescent="0.2">
      <c r="I78">
        <v>11.2417</v>
      </c>
      <c r="K78">
        <v>2</v>
      </c>
      <c r="L78">
        <v>2</v>
      </c>
    </row>
    <row r="79" spans="9:12" x14ac:dyDescent="0.2">
      <c r="I79">
        <v>11.5</v>
      </c>
      <c r="J79">
        <v>4</v>
      </c>
      <c r="L79">
        <v>4</v>
      </c>
    </row>
    <row r="80" spans="9:12" x14ac:dyDescent="0.2">
      <c r="I80">
        <v>12</v>
      </c>
      <c r="K80">
        <v>1</v>
      </c>
      <c r="L80">
        <v>1</v>
      </c>
    </row>
    <row r="81" spans="9:12" x14ac:dyDescent="0.2">
      <c r="I81">
        <v>12.275</v>
      </c>
      <c r="J81">
        <v>1</v>
      </c>
      <c r="L81">
        <v>1</v>
      </c>
    </row>
    <row r="82" spans="9:12" x14ac:dyDescent="0.2">
      <c r="I82">
        <v>12.2875</v>
      </c>
      <c r="K82">
        <v>1</v>
      </c>
      <c r="L82">
        <v>1</v>
      </c>
    </row>
    <row r="83" spans="9:12" x14ac:dyDescent="0.2">
      <c r="I83">
        <v>12.35</v>
      </c>
      <c r="J83">
        <v>1</v>
      </c>
      <c r="K83">
        <v>2</v>
      </c>
      <c r="L83">
        <v>3</v>
      </c>
    </row>
    <row r="84" spans="9:12" x14ac:dyDescent="0.2">
      <c r="I84">
        <v>12.475</v>
      </c>
      <c r="K84">
        <v>4</v>
      </c>
      <c r="L84">
        <v>4</v>
      </c>
    </row>
    <row r="85" spans="9:12" x14ac:dyDescent="0.2">
      <c r="I85">
        <v>12.525</v>
      </c>
      <c r="J85">
        <v>1</v>
      </c>
      <c r="L85">
        <v>1</v>
      </c>
    </row>
    <row r="86" spans="9:12" x14ac:dyDescent="0.2">
      <c r="I86">
        <v>12.65</v>
      </c>
      <c r="K86">
        <v>1</v>
      </c>
      <c r="L86">
        <v>1</v>
      </c>
    </row>
    <row r="87" spans="9:12" x14ac:dyDescent="0.2">
      <c r="I87">
        <v>12.875</v>
      </c>
      <c r="J87">
        <v>1</v>
      </c>
      <c r="L87">
        <v>1</v>
      </c>
    </row>
    <row r="88" spans="9:12" x14ac:dyDescent="0.2">
      <c r="I88">
        <v>13</v>
      </c>
      <c r="J88">
        <v>26</v>
      </c>
      <c r="K88">
        <v>16</v>
      </c>
      <c r="L88">
        <v>42</v>
      </c>
    </row>
    <row r="89" spans="9:12" x14ac:dyDescent="0.2">
      <c r="I89">
        <v>13.416700000000001</v>
      </c>
      <c r="K89">
        <v>1</v>
      </c>
      <c r="L89">
        <v>1</v>
      </c>
    </row>
    <row r="90" spans="9:12" x14ac:dyDescent="0.2">
      <c r="I90">
        <v>13.5</v>
      </c>
      <c r="J90">
        <v>3</v>
      </c>
      <c r="K90">
        <v>1</v>
      </c>
      <c r="L90">
        <v>4</v>
      </c>
    </row>
    <row r="91" spans="9:12" x14ac:dyDescent="0.2">
      <c r="I91">
        <v>13.791700000000001</v>
      </c>
      <c r="K91">
        <v>1</v>
      </c>
      <c r="L91">
        <v>1</v>
      </c>
    </row>
    <row r="92" spans="9:12" x14ac:dyDescent="0.2">
      <c r="I92">
        <v>13.8583</v>
      </c>
      <c r="K92">
        <v>1</v>
      </c>
      <c r="L92">
        <v>1</v>
      </c>
    </row>
    <row r="93" spans="9:12" x14ac:dyDescent="0.2">
      <c r="I93">
        <v>13.862500000000001</v>
      </c>
      <c r="K93">
        <v>1</v>
      </c>
      <c r="L93">
        <v>1</v>
      </c>
    </row>
    <row r="94" spans="9:12" x14ac:dyDescent="0.2">
      <c r="I94">
        <v>14</v>
      </c>
      <c r="J94">
        <v>1</v>
      </c>
      <c r="L94">
        <v>1</v>
      </c>
    </row>
    <row r="95" spans="9:12" x14ac:dyDescent="0.2">
      <c r="I95">
        <v>14.1083</v>
      </c>
      <c r="J95">
        <v>1</v>
      </c>
      <c r="L95">
        <v>1</v>
      </c>
    </row>
    <row r="96" spans="9:12" x14ac:dyDescent="0.2">
      <c r="I96">
        <v>14.4</v>
      </c>
      <c r="J96">
        <v>2</v>
      </c>
      <c r="L96">
        <v>2</v>
      </c>
    </row>
    <row r="97" spans="9:12" x14ac:dyDescent="0.2">
      <c r="I97">
        <v>14.4542</v>
      </c>
      <c r="J97">
        <v>6</v>
      </c>
      <c r="K97">
        <v>1</v>
      </c>
      <c r="L97">
        <v>7</v>
      </c>
    </row>
    <row r="98" spans="9:12" x14ac:dyDescent="0.2">
      <c r="I98">
        <v>14.458299999999999</v>
      </c>
      <c r="J98">
        <v>3</v>
      </c>
      <c r="L98">
        <v>3</v>
      </c>
    </row>
    <row r="99" spans="9:12" x14ac:dyDescent="0.2">
      <c r="I99">
        <v>14.5</v>
      </c>
      <c r="J99">
        <v>5</v>
      </c>
      <c r="K99">
        <v>2</v>
      </c>
      <c r="L99">
        <v>7</v>
      </c>
    </row>
    <row r="100" spans="9:12" x14ac:dyDescent="0.2">
      <c r="I100">
        <v>15</v>
      </c>
      <c r="J100">
        <v>1</v>
      </c>
      <c r="L100">
        <v>1</v>
      </c>
    </row>
    <row r="101" spans="9:12" x14ac:dyDescent="0.2">
      <c r="I101">
        <v>15.0458</v>
      </c>
      <c r="J101">
        <v>1</v>
      </c>
      <c r="L101">
        <v>1</v>
      </c>
    </row>
    <row r="102" spans="9:12" x14ac:dyDescent="0.2">
      <c r="I102">
        <v>15.05</v>
      </c>
      <c r="J102">
        <v>1</v>
      </c>
      <c r="L102">
        <v>1</v>
      </c>
    </row>
    <row r="103" spans="9:12" x14ac:dyDescent="0.2">
      <c r="I103">
        <v>15.1</v>
      </c>
      <c r="J103">
        <v>1</v>
      </c>
      <c r="L103">
        <v>1</v>
      </c>
    </row>
    <row r="104" spans="9:12" x14ac:dyDescent="0.2">
      <c r="I104">
        <v>15.245799999999999</v>
      </c>
      <c r="J104">
        <v>2</v>
      </c>
      <c r="K104">
        <v>3</v>
      </c>
      <c r="L104">
        <v>5</v>
      </c>
    </row>
    <row r="105" spans="9:12" x14ac:dyDescent="0.2">
      <c r="I105">
        <v>15.5</v>
      </c>
      <c r="J105">
        <v>5</v>
      </c>
      <c r="K105">
        <v>3</v>
      </c>
      <c r="L105">
        <v>8</v>
      </c>
    </row>
    <row r="106" spans="9:12" x14ac:dyDescent="0.2">
      <c r="I106">
        <v>15.55</v>
      </c>
      <c r="J106">
        <v>1</v>
      </c>
      <c r="L106">
        <v>1</v>
      </c>
    </row>
    <row r="107" spans="9:12" x14ac:dyDescent="0.2">
      <c r="I107">
        <v>15.7417</v>
      </c>
      <c r="K107">
        <v>2</v>
      </c>
      <c r="L107">
        <v>2</v>
      </c>
    </row>
    <row r="108" spans="9:12" x14ac:dyDescent="0.2">
      <c r="I108">
        <v>15.75</v>
      </c>
      <c r="K108">
        <v>1</v>
      </c>
      <c r="L108">
        <v>1</v>
      </c>
    </row>
    <row r="109" spans="9:12" x14ac:dyDescent="0.2">
      <c r="I109">
        <v>15.85</v>
      </c>
      <c r="J109">
        <v>2</v>
      </c>
      <c r="K109">
        <v>2</v>
      </c>
      <c r="L109">
        <v>4</v>
      </c>
    </row>
    <row r="110" spans="9:12" x14ac:dyDescent="0.2">
      <c r="I110">
        <v>15.9</v>
      </c>
      <c r="K110">
        <v>2</v>
      </c>
      <c r="L110">
        <v>2</v>
      </c>
    </row>
    <row r="111" spans="9:12" x14ac:dyDescent="0.2">
      <c r="I111">
        <v>16</v>
      </c>
      <c r="K111">
        <v>1</v>
      </c>
      <c r="L111">
        <v>1</v>
      </c>
    </row>
    <row r="112" spans="9:12" x14ac:dyDescent="0.2">
      <c r="I112">
        <v>16.100000000000001</v>
      </c>
      <c r="J112">
        <v>7</v>
      </c>
      <c r="K112">
        <v>2</v>
      </c>
      <c r="L112">
        <v>9</v>
      </c>
    </row>
    <row r="113" spans="9:12" x14ac:dyDescent="0.2">
      <c r="I113">
        <v>16.7</v>
      </c>
      <c r="K113">
        <v>2</v>
      </c>
      <c r="L113">
        <v>2</v>
      </c>
    </row>
    <row r="114" spans="9:12" x14ac:dyDescent="0.2">
      <c r="I114">
        <v>17.399999999999999</v>
      </c>
      <c r="K114">
        <v>1</v>
      </c>
      <c r="L114">
        <v>1</v>
      </c>
    </row>
    <row r="115" spans="9:12" x14ac:dyDescent="0.2">
      <c r="I115">
        <v>17.8</v>
      </c>
      <c r="J115">
        <v>2</v>
      </c>
      <c r="L115">
        <v>2</v>
      </c>
    </row>
    <row r="116" spans="9:12" x14ac:dyDescent="0.2">
      <c r="I116">
        <v>18</v>
      </c>
      <c r="J116">
        <v>3</v>
      </c>
      <c r="L116">
        <v>3</v>
      </c>
    </row>
    <row r="117" spans="9:12" x14ac:dyDescent="0.2">
      <c r="I117">
        <v>18.75</v>
      </c>
      <c r="K117">
        <v>3</v>
      </c>
      <c r="L117">
        <v>3</v>
      </c>
    </row>
    <row r="118" spans="9:12" x14ac:dyDescent="0.2">
      <c r="I118">
        <v>18.787500000000001</v>
      </c>
      <c r="J118">
        <v>1</v>
      </c>
      <c r="K118">
        <v>1</v>
      </c>
      <c r="L118">
        <v>2</v>
      </c>
    </row>
    <row r="119" spans="9:12" x14ac:dyDescent="0.2">
      <c r="I119">
        <v>19.258299999999998</v>
      </c>
      <c r="K119">
        <v>4</v>
      </c>
      <c r="L119">
        <v>4</v>
      </c>
    </row>
    <row r="120" spans="9:12" x14ac:dyDescent="0.2">
      <c r="I120">
        <v>19.5</v>
      </c>
      <c r="K120">
        <v>2</v>
      </c>
      <c r="L120">
        <v>2</v>
      </c>
    </row>
    <row r="121" spans="9:12" x14ac:dyDescent="0.2">
      <c r="I121">
        <v>19.966699999999999</v>
      </c>
      <c r="J121">
        <v>2</v>
      </c>
      <c r="L121">
        <v>2</v>
      </c>
    </row>
    <row r="122" spans="9:12" x14ac:dyDescent="0.2">
      <c r="I122">
        <v>20.212499999999999</v>
      </c>
      <c r="J122">
        <v>2</v>
      </c>
      <c r="L122">
        <v>2</v>
      </c>
    </row>
    <row r="123" spans="9:12" x14ac:dyDescent="0.2">
      <c r="I123">
        <v>20.25</v>
      </c>
      <c r="J123">
        <v>1</v>
      </c>
      <c r="K123">
        <v>1</v>
      </c>
      <c r="L123">
        <v>2</v>
      </c>
    </row>
    <row r="124" spans="9:12" x14ac:dyDescent="0.2">
      <c r="I124">
        <v>20.524999999999999</v>
      </c>
      <c r="J124">
        <v>1</v>
      </c>
      <c r="K124">
        <v>2</v>
      </c>
      <c r="L124">
        <v>3</v>
      </c>
    </row>
    <row r="125" spans="9:12" x14ac:dyDescent="0.2">
      <c r="I125">
        <v>20.574999999999999</v>
      </c>
      <c r="J125">
        <v>1</v>
      </c>
      <c r="K125">
        <v>1</v>
      </c>
      <c r="L125">
        <v>2</v>
      </c>
    </row>
    <row r="126" spans="9:12" x14ac:dyDescent="0.2">
      <c r="I126">
        <v>21</v>
      </c>
      <c r="J126">
        <v>4</v>
      </c>
      <c r="K126">
        <v>2</v>
      </c>
      <c r="L126">
        <v>6</v>
      </c>
    </row>
    <row r="127" spans="9:12" x14ac:dyDescent="0.2">
      <c r="I127">
        <v>21.074999999999999</v>
      </c>
      <c r="J127">
        <v>4</v>
      </c>
      <c r="L127">
        <v>4</v>
      </c>
    </row>
    <row r="128" spans="9:12" x14ac:dyDescent="0.2">
      <c r="I128">
        <v>21.679200000000002</v>
      </c>
      <c r="J128">
        <v>1</v>
      </c>
      <c r="L128">
        <v>1</v>
      </c>
    </row>
    <row r="129" spans="9:12" x14ac:dyDescent="0.2">
      <c r="I129">
        <v>22.024999999999999</v>
      </c>
      <c r="K129">
        <v>1</v>
      </c>
      <c r="L129">
        <v>1</v>
      </c>
    </row>
    <row r="130" spans="9:12" x14ac:dyDescent="0.2">
      <c r="I130">
        <v>22.3583</v>
      </c>
      <c r="K130">
        <v>2</v>
      </c>
      <c r="L130">
        <v>2</v>
      </c>
    </row>
    <row r="131" spans="9:12" x14ac:dyDescent="0.2">
      <c r="I131">
        <v>22.524999999999999</v>
      </c>
      <c r="J131">
        <v>1</v>
      </c>
      <c r="L131">
        <v>1</v>
      </c>
    </row>
    <row r="132" spans="9:12" x14ac:dyDescent="0.2">
      <c r="I132">
        <v>23</v>
      </c>
      <c r="K132">
        <v>4</v>
      </c>
      <c r="L132">
        <v>4</v>
      </c>
    </row>
    <row r="133" spans="9:12" x14ac:dyDescent="0.2">
      <c r="I133">
        <v>23.25</v>
      </c>
      <c r="K133">
        <v>2</v>
      </c>
      <c r="L133">
        <v>2</v>
      </c>
    </row>
    <row r="134" spans="9:12" x14ac:dyDescent="0.2">
      <c r="I134">
        <v>23.45</v>
      </c>
      <c r="J134">
        <v>2</v>
      </c>
      <c r="L134">
        <v>2</v>
      </c>
    </row>
    <row r="135" spans="9:12" x14ac:dyDescent="0.2">
      <c r="I135">
        <v>24</v>
      </c>
      <c r="J135">
        <v>1</v>
      </c>
      <c r="K135">
        <v>1</v>
      </c>
      <c r="L135">
        <v>2</v>
      </c>
    </row>
    <row r="136" spans="9:12" x14ac:dyDescent="0.2">
      <c r="I136">
        <v>24.15</v>
      </c>
      <c r="J136">
        <v>7</v>
      </c>
      <c r="K136">
        <v>1</v>
      </c>
      <c r="L136">
        <v>8</v>
      </c>
    </row>
    <row r="137" spans="9:12" x14ac:dyDescent="0.2">
      <c r="I137">
        <v>25.466699999999999</v>
      </c>
      <c r="J137">
        <v>4</v>
      </c>
      <c r="L137">
        <v>4</v>
      </c>
    </row>
    <row r="138" spans="9:12" x14ac:dyDescent="0.2">
      <c r="I138">
        <v>25.587499999999999</v>
      </c>
      <c r="J138">
        <v>1</v>
      </c>
      <c r="L138">
        <v>1</v>
      </c>
    </row>
    <row r="139" spans="9:12" x14ac:dyDescent="0.2">
      <c r="I139">
        <v>25.925000000000001</v>
      </c>
      <c r="J139">
        <v>1</v>
      </c>
      <c r="L139">
        <v>1</v>
      </c>
    </row>
    <row r="140" spans="9:12" x14ac:dyDescent="0.2">
      <c r="I140">
        <v>25.929200000000002</v>
      </c>
      <c r="K140">
        <v>2</v>
      </c>
      <c r="L140">
        <v>2</v>
      </c>
    </row>
    <row r="141" spans="9:12" x14ac:dyDescent="0.2">
      <c r="I141">
        <v>26</v>
      </c>
      <c r="J141">
        <v>16</v>
      </c>
      <c r="K141">
        <v>15</v>
      </c>
      <c r="L141">
        <v>31</v>
      </c>
    </row>
    <row r="142" spans="9:12" x14ac:dyDescent="0.2">
      <c r="I142">
        <v>26.25</v>
      </c>
      <c r="J142">
        <v>2</v>
      </c>
      <c r="K142">
        <v>4</v>
      </c>
      <c r="L142">
        <v>6</v>
      </c>
    </row>
    <row r="143" spans="9:12" x14ac:dyDescent="0.2">
      <c r="I143">
        <v>26.283300000000001</v>
      </c>
      <c r="K143">
        <v>1</v>
      </c>
      <c r="L143">
        <v>1</v>
      </c>
    </row>
    <row r="144" spans="9:12" x14ac:dyDescent="0.2">
      <c r="I144">
        <v>26.287500000000001</v>
      </c>
      <c r="K144">
        <v>3</v>
      </c>
      <c r="L144">
        <v>3</v>
      </c>
    </row>
    <row r="145" spans="9:12" x14ac:dyDescent="0.2">
      <c r="I145">
        <v>26.387499999999999</v>
      </c>
      <c r="K145">
        <v>1</v>
      </c>
      <c r="L145">
        <v>1</v>
      </c>
    </row>
    <row r="146" spans="9:12" x14ac:dyDescent="0.2">
      <c r="I146">
        <v>26.55</v>
      </c>
      <c r="J146">
        <v>7</v>
      </c>
      <c r="K146">
        <v>8</v>
      </c>
      <c r="L146">
        <v>15</v>
      </c>
    </row>
    <row r="147" spans="9:12" x14ac:dyDescent="0.2">
      <c r="I147">
        <v>27</v>
      </c>
      <c r="J147">
        <v>1</v>
      </c>
      <c r="K147">
        <v>1</v>
      </c>
      <c r="L147">
        <v>2</v>
      </c>
    </row>
    <row r="148" spans="9:12" x14ac:dyDescent="0.2">
      <c r="I148">
        <v>27.720800000000001</v>
      </c>
      <c r="J148">
        <v>4</v>
      </c>
      <c r="K148">
        <v>1</v>
      </c>
      <c r="L148">
        <v>5</v>
      </c>
    </row>
    <row r="149" spans="9:12" x14ac:dyDescent="0.2">
      <c r="I149">
        <v>27.75</v>
      </c>
      <c r="J149">
        <v>2</v>
      </c>
      <c r="K149">
        <v>2</v>
      </c>
      <c r="L149">
        <v>4</v>
      </c>
    </row>
    <row r="150" spans="9:12" x14ac:dyDescent="0.2">
      <c r="I150">
        <v>27.9</v>
      </c>
      <c r="J150">
        <v>6</v>
      </c>
      <c r="L150">
        <v>6</v>
      </c>
    </row>
    <row r="151" spans="9:12" x14ac:dyDescent="0.2">
      <c r="I151">
        <v>28.5</v>
      </c>
      <c r="J151">
        <v>1</v>
      </c>
      <c r="L151">
        <v>1</v>
      </c>
    </row>
    <row r="152" spans="9:12" x14ac:dyDescent="0.2">
      <c r="I152">
        <v>28.712499999999999</v>
      </c>
      <c r="J152">
        <v>1</v>
      </c>
      <c r="L152">
        <v>1</v>
      </c>
    </row>
    <row r="153" spans="9:12" x14ac:dyDescent="0.2">
      <c r="I153">
        <v>29</v>
      </c>
      <c r="K153">
        <v>2</v>
      </c>
      <c r="L153">
        <v>2</v>
      </c>
    </row>
    <row r="154" spans="9:12" x14ac:dyDescent="0.2">
      <c r="I154">
        <v>29.125</v>
      </c>
      <c r="J154">
        <v>5</v>
      </c>
      <c r="L154">
        <v>5</v>
      </c>
    </row>
    <row r="155" spans="9:12" x14ac:dyDescent="0.2">
      <c r="I155">
        <v>29.7</v>
      </c>
      <c r="J155">
        <v>2</v>
      </c>
      <c r="K155">
        <v>1</v>
      </c>
      <c r="L155">
        <v>3</v>
      </c>
    </row>
    <row r="156" spans="9:12" x14ac:dyDescent="0.2">
      <c r="I156">
        <v>30</v>
      </c>
      <c r="J156">
        <v>1</v>
      </c>
      <c r="K156">
        <v>5</v>
      </c>
      <c r="L156">
        <v>6</v>
      </c>
    </row>
    <row r="157" spans="9:12" x14ac:dyDescent="0.2">
      <c r="I157">
        <v>30.070799999999998</v>
      </c>
      <c r="J157">
        <v>1</v>
      </c>
      <c r="K157">
        <v>1</v>
      </c>
      <c r="L157">
        <v>2</v>
      </c>
    </row>
    <row r="158" spans="9:12" x14ac:dyDescent="0.2">
      <c r="I158">
        <v>30.5</v>
      </c>
      <c r="J158">
        <v>1</v>
      </c>
      <c r="K158">
        <v>4</v>
      </c>
      <c r="L158">
        <v>5</v>
      </c>
    </row>
    <row r="159" spans="9:12" x14ac:dyDescent="0.2">
      <c r="I159">
        <v>30.695799999999998</v>
      </c>
      <c r="J159">
        <v>2</v>
      </c>
      <c r="L159">
        <v>2</v>
      </c>
    </row>
    <row r="160" spans="9:12" x14ac:dyDescent="0.2">
      <c r="I160">
        <v>31</v>
      </c>
      <c r="J160">
        <v>1</v>
      </c>
      <c r="K160">
        <v>2</v>
      </c>
      <c r="L160">
        <v>3</v>
      </c>
    </row>
    <row r="161" spans="9:12" x14ac:dyDescent="0.2">
      <c r="I161">
        <v>31.274999999999999</v>
      </c>
      <c r="J161">
        <v>7</v>
      </c>
      <c r="L161">
        <v>7</v>
      </c>
    </row>
    <row r="162" spans="9:12" x14ac:dyDescent="0.2">
      <c r="I162">
        <v>31.387499999999999</v>
      </c>
      <c r="J162">
        <v>1</v>
      </c>
      <c r="K162">
        <v>3</v>
      </c>
      <c r="L162">
        <v>4</v>
      </c>
    </row>
    <row r="163" spans="9:12" x14ac:dyDescent="0.2">
      <c r="I163">
        <v>32.320799999999998</v>
      </c>
      <c r="J163">
        <v>1</v>
      </c>
      <c r="L163">
        <v>1</v>
      </c>
    </row>
    <row r="164" spans="9:12" x14ac:dyDescent="0.2">
      <c r="I164">
        <v>32.5</v>
      </c>
      <c r="K164">
        <v>1</v>
      </c>
      <c r="L164">
        <v>1</v>
      </c>
    </row>
    <row r="165" spans="9:12" x14ac:dyDescent="0.2">
      <c r="I165">
        <v>33</v>
      </c>
      <c r="J165">
        <v>1</v>
      </c>
      <c r="K165">
        <v>2</v>
      </c>
      <c r="L165">
        <v>3</v>
      </c>
    </row>
    <row r="166" spans="9:12" x14ac:dyDescent="0.2">
      <c r="I166">
        <v>33.5</v>
      </c>
      <c r="J166">
        <v>1</v>
      </c>
      <c r="L166">
        <v>1</v>
      </c>
    </row>
    <row r="167" spans="9:12" x14ac:dyDescent="0.2">
      <c r="I167">
        <v>34.020800000000001</v>
      </c>
      <c r="J167">
        <v>1</v>
      </c>
      <c r="L167">
        <v>1</v>
      </c>
    </row>
    <row r="168" spans="9:12" x14ac:dyDescent="0.2">
      <c r="I168">
        <v>34.375</v>
      </c>
      <c r="J168">
        <v>4</v>
      </c>
      <c r="L168">
        <v>4</v>
      </c>
    </row>
    <row r="169" spans="9:12" x14ac:dyDescent="0.2">
      <c r="I169">
        <v>34.654200000000003</v>
      </c>
      <c r="J169">
        <v>1</v>
      </c>
      <c r="L169">
        <v>1</v>
      </c>
    </row>
    <row r="170" spans="9:12" x14ac:dyDescent="0.2">
      <c r="I170">
        <v>35</v>
      </c>
      <c r="J170">
        <v>1</v>
      </c>
      <c r="L170">
        <v>1</v>
      </c>
    </row>
    <row r="171" spans="9:12" x14ac:dyDescent="0.2">
      <c r="I171">
        <v>35.5</v>
      </c>
      <c r="J171">
        <v>1</v>
      </c>
      <c r="K171">
        <v>3</v>
      </c>
      <c r="L171">
        <v>4</v>
      </c>
    </row>
    <row r="172" spans="9:12" x14ac:dyDescent="0.2">
      <c r="I172">
        <v>36.75</v>
      </c>
      <c r="J172">
        <v>1</v>
      </c>
      <c r="K172">
        <v>1</v>
      </c>
      <c r="L172">
        <v>2</v>
      </c>
    </row>
    <row r="173" spans="9:12" x14ac:dyDescent="0.2">
      <c r="I173">
        <v>37.004199999999997</v>
      </c>
      <c r="J173">
        <v>1</v>
      </c>
      <c r="K173">
        <v>1</v>
      </c>
      <c r="L173">
        <v>2</v>
      </c>
    </row>
    <row r="174" spans="9:12" x14ac:dyDescent="0.2">
      <c r="I174">
        <v>38.5</v>
      </c>
      <c r="J174">
        <v>1</v>
      </c>
      <c r="L174">
        <v>1</v>
      </c>
    </row>
    <row r="175" spans="9:12" x14ac:dyDescent="0.2">
      <c r="I175">
        <v>39</v>
      </c>
      <c r="J175">
        <v>1</v>
      </c>
      <c r="K175">
        <v>3</v>
      </c>
      <c r="L175">
        <v>4</v>
      </c>
    </row>
    <row r="176" spans="9:12" x14ac:dyDescent="0.2">
      <c r="I176">
        <v>39.4</v>
      </c>
      <c r="K176">
        <v>1</v>
      </c>
      <c r="L176">
        <v>1</v>
      </c>
    </row>
    <row r="177" spans="9:12" x14ac:dyDescent="0.2">
      <c r="I177">
        <v>39.6</v>
      </c>
      <c r="J177">
        <v>1</v>
      </c>
      <c r="K177">
        <v>1</v>
      </c>
      <c r="L177">
        <v>2</v>
      </c>
    </row>
    <row r="178" spans="9:12" x14ac:dyDescent="0.2">
      <c r="I178">
        <v>39.6875</v>
      </c>
      <c r="J178">
        <v>6</v>
      </c>
      <c r="L178">
        <v>6</v>
      </c>
    </row>
    <row r="179" spans="9:12" x14ac:dyDescent="0.2">
      <c r="I179">
        <v>40.125</v>
      </c>
      <c r="J179">
        <v>1</v>
      </c>
      <c r="L179">
        <v>1</v>
      </c>
    </row>
    <row r="180" spans="9:12" x14ac:dyDescent="0.2">
      <c r="I180">
        <v>41.5792</v>
      </c>
      <c r="J180">
        <v>1</v>
      </c>
      <c r="K180">
        <v>2</v>
      </c>
      <c r="L180">
        <v>3</v>
      </c>
    </row>
    <row r="181" spans="9:12" x14ac:dyDescent="0.2">
      <c r="I181">
        <v>42.4</v>
      </c>
      <c r="J181">
        <v>1</v>
      </c>
      <c r="L181">
        <v>1</v>
      </c>
    </row>
    <row r="182" spans="9:12" x14ac:dyDescent="0.2">
      <c r="I182">
        <v>46.9</v>
      </c>
      <c r="J182">
        <v>6</v>
      </c>
      <c r="L182">
        <v>6</v>
      </c>
    </row>
    <row r="183" spans="9:12" x14ac:dyDescent="0.2">
      <c r="I183">
        <v>47.1</v>
      </c>
      <c r="J183">
        <v>1</v>
      </c>
      <c r="L183">
        <v>1</v>
      </c>
    </row>
    <row r="184" spans="9:12" x14ac:dyDescent="0.2">
      <c r="I184">
        <v>49.5</v>
      </c>
      <c r="K184">
        <v>1</v>
      </c>
      <c r="L184">
        <v>1</v>
      </c>
    </row>
    <row r="185" spans="9:12" x14ac:dyDescent="0.2">
      <c r="I185">
        <v>49.504199999999997</v>
      </c>
      <c r="J185">
        <v>1</v>
      </c>
      <c r="K185">
        <v>1</v>
      </c>
      <c r="L185">
        <v>2</v>
      </c>
    </row>
    <row r="186" spans="9:12" x14ac:dyDescent="0.2">
      <c r="I186">
        <v>50</v>
      </c>
      <c r="J186">
        <v>1</v>
      </c>
      <c r="L186">
        <v>1</v>
      </c>
    </row>
    <row r="187" spans="9:12" x14ac:dyDescent="0.2">
      <c r="I187">
        <v>50.495800000000003</v>
      </c>
      <c r="J187">
        <v>1</v>
      </c>
      <c r="L187">
        <v>1</v>
      </c>
    </row>
    <row r="188" spans="9:12" x14ac:dyDescent="0.2">
      <c r="I188">
        <v>51.479199999999999</v>
      </c>
      <c r="K188">
        <v>1</v>
      </c>
      <c r="L188">
        <v>1</v>
      </c>
    </row>
    <row r="189" spans="9:12" x14ac:dyDescent="0.2">
      <c r="I189">
        <v>51.862499999999997</v>
      </c>
      <c r="J189">
        <v>1</v>
      </c>
      <c r="K189">
        <v>1</v>
      </c>
      <c r="L189">
        <v>2</v>
      </c>
    </row>
    <row r="190" spans="9:12" x14ac:dyDescent="0.2">
      <c r="I190">
        <v>52</v>
      </c>
      <c r="J190">
        <v>4</v>
      </c>
      <c r="K190">
        <v>3</v>
      </c>
      <c r="L190">
        <v>7</v>
      </c>
    </row>
    <row r="191" spans="9:12" x14ac:dyDescent="0.2">
      <c r="I191">
        <v>52.554200000000002</v>
      </c>
      <c r="K191">
        <v>3</v>
      </c>
      <c r="L191">
        <v>3</v>
      </c>
    </row>
    <row r="192" spans="9:12" x14ac:dyDescent="0.2">
      <c r="I192">
        <v>53.1</v>
      </c>
      <c r="J192">
        <v>2</v>
      </c>
      <c r="K192">
        <v>3</v>
      </c>
      <c r="L192">
        <v>5</v>
      </c>
    </row>
    <row r="193" spans="9:12" x14ac:dyDescent="0.2">
      <c r="I193">
        <v>55</v>
      </c>
      <c r="K193">
        <v>2</v>
      </c>
      <c r="L193">
        <v>2</v>
      </c>
    </row>
    <row r="194" spans="9:12" x14ac:dyDescent="0.2">
      <c r="I194">
        <v>55.441699999999997</v>
      </c>
      <c r="K194">
        <v>1</v>
      </c>
      <c r="L194">
        <v>1</v>
      </c>
    </row>
    <row r="195" spans="9:12" x14ac:dyDescent="0.2">
      <c r="I195">
        <v>55.9</v>
      </c>
      <c r="J195">
        <v>1</v>
      </c>
      <c r="K195">
        <v>1</v>
      </c>
      <c r="L195">
        <v>2</v>
      </c>
    </row>
    <row r="196" spans="9:12" x14ac:dyDescent="0.2">
      <c r="I196">
        <v>56.495800000000003</v>
      </c>
      <c r="J196">
        <v>2</v>
      </c>
      <c r="K196">
        <v>5</v>
      </c>
      <c r="L196">
        <v>7</v>
      </c>
    </row>
    <row r="197" spans="9:12" x14ac:dyDescent="0.2">
      <c r="I197">
        <v>56.929200000000002</v>
      </c>
      <c r="K197">
        <v>2</v>
      </c>
      <c r="L197">
        <v>2</v>
      </c>
    </row>
    <row r="198" spans="9:12" x14ac:dyDescent="0.2">
      <c r="I198">
        <v>57</v>
      </c>
      <c r="K198">
        <v>2</v>
      </c>
      <c r="L198">
        <v>2</v>
      </c>
    </row>
    <row r="199" spans="9:12" x14ac:dyDescent="0.2">
      <c r="I199">
        <v>57.979199999999999</v>
      </c>
      <c r="K199">
        <v>2</v>
      </c>
      <c r="L199">
        <v>2</v>
      </c>
    </row>
    <row r="200" spans="9:12" x14ac:dyDescent="0.2">
      <c r="I200">
        <v>59.4</v>
      </c>
      <c r="K200">
        <v>1</v>
      </c>
      <c r="L200">
        <v>1</v>
      </c>
    </row>
    <row r="201" spans="9:12" x14ac:dyDescent="0.2">
      <c r="I201">
        <v>61.174999999999997</v>
      </c>
      <c r="J201">
        <v>1</v>
      </c>
      <c r="L201">
        <v>1</v>
      </c>
    </row>
    <row r="202" spans="9:12" x14ac:dyDescent="0.2">
      <c r="I202">
        <v>61.379199999999997</v>
      </c>
      <c r="J202">
        <v>1</v>
      </c>
      <c r="L202">
        <v>1</v>
      </c>
    </row>
    <row r="203" spans="9:12" x14ac:dyDescent="0.2">
      <c r="I203">
        <v>61.979199999999999</v>
      </c>
      <c r="J203">
        <v>1</v>
      </c>
      <c r="L203">
        <v>1</v>
      </c>
    </row>
    <row r="204" spans="9:12" x14ac:dyDescent="0.2">
      <c r="I204">
        <v>63.3583</v>
      </c>
      <c r="K204">
        <v>1</v>
      </c>
      <c r="L204">
        <v>1</v>
      </c>
    </row>
    <row r="205" spans="9:12" x14ac:dyDescent="0.2">
      <c r="I205">
        <v>65</v>
      </c>
      <c r="K205">
        <v>2</v>
      </c>
      <c r="L205">
        <v>2</v>
      </c>
    </row>
    <row r="206" spans="9:12" x14ac:dyDescent="0.2">
      <c r="I206">
        <v>66.599999999999994</v>
      </c>
      <c r="J206">
        <v>1</v>
      </c>
      <c r="K206">
        <v>1</v>
      </c>
      <c r="L206">
        <v>2</v>
      </c>
    </row>
    <row r="207" spans="9:12" x14ac:dyDescent="0.2">
      <c r="I207">
        <v>69.3</v>
      </c>
      <c r="K207">
        <v>2</v>
      </c>
      <c r="L207">
        <v>2</v>
      </c>
    </row>
    <row r="208" spans="9:12" x14ac:dyDescent="0.2">
      <c r="I208">
        <v>69.55</v>
      </c>
      <c r="J208">
        <v>7</v>
      </c>
      <c r="L208">
        <v>7</v>
      </c>
    </row>
    <row r="209" spans="9:21" x14ac:dyDescent="0.2">
      <c r="I209">
        <v>71</v>
      </c>
      <c r="J209">
        <v>1</v>
      </c>
      <c r="K209">
        <v>1</v>
      </c>
      <c r="L209">
        <v>2</v>
      </c>
    </row>
    <row r="210" spans="9:21" x14ac:dyDescent="0.2">
      <c r="I210">
        <v>71.283299999999997</v>
      </c>
      <c r="K210">
        <v>1</v>
      </c>
      <c r="L210">
        <v>1</v>
      </c>
    </row>
    <row r="211" spans="9:21" x14ac:dyDescent="0.2">
      <c r="I211">
        <v>73.5</v>
      </c>
      <c r="J211">
        <v>5</v>
      </c>
      <c r="L211">
        <v>5</v>
      </c>
    </row>
    <row r="212" spans="9:21" x14ac:dyDescent="0.2">
      <c r="I212">
        <v>75.25</v>
      </c>
      <c r="K212">
        <v>1</v>
      </c>
      <c r="L212">
        <v>1</v>
      </c>
    </row>
    <row r="213" spans="9:21" x14ac:dyDescent="0.2">
      <c r="I213">
        <v>76.291700000000006</v>
      </c>
      <c r="K213">
        <v>1</v>
      </c>
      <c r="L213">
        <v>1</v>
      </c>
    </row>
    <row r="214" spans="9:21" x14ac:dyDescent="0.2">
      <c r="I214">
        <v>76.729200000000006</v>
      </c>
      <c r="K214">
        <v>3</v>
      </c>
      <c r="L214">
        <v>3</v>
      </c>
    </row>
    <row r="215" spans="9:21" x14ac:dyDescent="0.2">
      <c r="I215">
        <v>77.287499999999994</v>
      </c>
      <c r="J215">
        <v>2</v>
      </c>
      <c r="L215">
        <v>2</v>
      </c>
    </row>
    <row r="216" spans="9:21" x14ac:dyDescent="0.2">
      <c r="I216">
        <v>77.958299999999994</v>
      </c>
      <c r="K216">
        <v>3</v>
      </c>
      <c r="L216">
        <v>3</v>
      </c>
    </row>
    <row r="217" spans="9:21" x14ac:dyDescent="0.2">
      <c r="I217">
        <v>78.2667</v>
      </c>
      <c r="K217">
        <v>2</v>
      </c>
      <c r="L217">
        <v>2</v>
      </c>
    </row>
    <row r="218" spans="9:21" x14ac:dyDescent="0.2">
      <c r="I218">
        <v>78.849999999999994</v>
      </c>
      <c r="J218">
        <v>1</v>
      </c>
      <c r="K218">
        <v>1</v>
      </c>
      <c r="L218">
        <v>2</v>
      </c>
      <c r="N218" t="s">
        <v>14</v>
      </c>
      <c r="S218" t="s">
        <v>15</v>
      </c>
    </row>
    <row r="219" spans="9:21" x14ac:dyDescent="0.2">
      <c r="I219">
        <v>79.2</v>
      </c>
      <c r="J219">
        <v>2</v>
      </c>
      <c r="K219">
        <v>2</v>
      </c>
      <c r="L219">
        <v>4</v>
      </c>
      <c r="N219">
        <v>532</v>
      </c>
      <c r="O219">
        <v>283</v>
      </c>
      <c r="P219">
        <v>815</v>
      </c>
      <c r="S219">
        <v>17</v>
      </c>
      <c r="T219">
        <v>59</v>
      </c>
      <c r="U219">
        <v>76</v>
      </c>
    </row>
    <row r="220" spans="9:21" x14ac:dyDescent="0.2">
      <c r="I220">
        <v>79.650000000000006</v>
      </c>
      <c r="J220">
        <v>1</v>
      </c>
      <c r="K220">
        <v>2</v>
      </c>
      <c r="L220">
        <v>3</v>
      </c>
      <c r="N220" s="1">
        <v>0.65</v>
      </c>
      <c r="O220" s="1">
        <v>0.35</v>
      </c>
      <c r="S220" s="1">
        <v>0.22</v>
      </c>
      <c r="T220" s="1">
        <v>0.78</v>
      </c>
    </row>
    <row r="221" spans="9:21" x14ac:dyDescent="0.2">
      <c r="I221">
        <v>80</v>
      </c>
      <c r="K221">
        <v>2</v>
      </c>
      <c r="L221">
        <v>2</v>
      </c>
    </row>
    <row r="222" spans="9:21" x14ac:dyDescent="0.2">
      <c r="I222">
        <v>81.8583</v>
      </c>
      <c r="K222">
        <v>1</v>
      </c>
      <c r="L222">
        <v>1</v>
      </c>
    </row>
    <row r="223" spans="9:21" x14ac:dyDescent="0.2">
      <c r="I223">
        <v>82.1708</v>
      </c>
      <c r="J223">
        <v>1</v>
      </c>
      <c r="K223">
        <v>1</v>
      </c>
      <c r="L223">
        <v>2</v>
      </c>
    </row>
    <row r="224" spans="9:21" x14ac:dyDescent="0.2">
      <c r="I224">
        <v>83.158299999999997</v>
      </c>
      <c r="K224">
        <v>3</v>
      </c>
      <c r="L224">
        <v>3</v>
      </c>
    </row>
    <row r="225" spans="9:12" x14ac:dyDescent="0.2">
      <c r="I225">
        <v>83.474999999999994</v>
      </c>
      <c r="J225">
        <v>1</v>
      </c>
      <c r="K225">
        <v>1</v>
      </c>
      <c r="L225">
        <v>2</v>
      </c>
    </row>
    <row r="226" spans="9:12" x14ac:dyDescent="0.2">
      <c r="I226">
        <v>86.5</v>
      </c>
      <c r="K226">
        <v>3</v>
      </c>
      <c r="L226">
        <v>3</v>
      </c>
    </row>
    <row r="227" spans="9:12" x14ac:dyDescent="0.2">
      <c r="I227">
        <v>89.104200000000006</v>
      </c>
      <c r="K227">
        <v>2</v>
      </c>
      <c r="L227">
        <v>2</v>
      </c>
    </row>
    <row r="228" spans="9:12" x14ac:dyDescent="0.2">
      <c r="I228">
        <v>90</v>
      </c>
      <c r="J228">
        <v>1</v>
      </c>
      <c r="K228">
        <v>3</v>
      </c>
      <c r="L228">
        <v>4</v>
      </c>
    </row>
    <row r="229" spans="9:12" x14ac:dyDescent="0.2">
      <c r="I229">
        <v>91.0792</v>
      </c>
      <c r="K229">
        <v>2</v>
      </c>
      <c r="L229">
        <v>2</v>
      </c>
    </row>
    <row r="230" spans="9:12" x14ac:dyDescent="0.2">
      <c r="I230">
        <v>93.5</v>
      </c>
      <c r="K230">
        <v>2</v>
      </c>
      <c r="L230">
        <v>2</v>
      </c>
    </row>
    <row r="231" spans="9:12" x14ac:dyDescent="0.2">
      <c r="I231">
        <v>106.425</v>
      </c>
      <c r="J231">
        <v>1</v>
      </c>
      <c r="K231">
        <v>1</v>
      </c>
      <c r="L231">
        <v>2</v>
      </c>
    </row>
    <row r="232" spans="9:12" x14ac:dyDescent="0.2">
      <c r="I232">
        <v>108.9</v>
      </c>
      <c r="J232">
        <v>1</v>
      </c>
      <c r="K232">
        <v>1</v>
      </c>
      <c r="L232">
        <v>2</v>
      </c>
    </row>
    <row r="233" spans="9:12" x14ac:dyDescent="0.2">
      <c r="I233">
        <v>110.88330000000001</v>
      </c>
      <c r="J233">
        <v>1</v>
      </c>
      <c r="K233">
        <v>3</v>
      </c>
      <c r="L233">
        <v>4</v>
      </c>
    </row>
    <row r="234" spans="9:12" x14ac:dyDescent="0.2">
      <c r="I234">
        <v>113.27500000000001</v>
      </c>
      <c r="J234">
        <v>1</v>
      </c>
      <c r="K234">
        <v>2</v>
      </c>
      <c r="L234">
        <v>3</v>
      </c>
    </row>
    <row r="235" spans="9:12" x14ac:dyDescent="0.2">
      <c r="I235">
        <v>120</v>
      </c>
      <c r="K235">
        <v>4</v>
      </c>
      <c r="L235">
        <v>4</v>
      </c>
    </row>
    <row r="236" spans="9:12" x14ac:dyDescent="0.2">
      <c r="I236">
        <v>133.65</v>
      </c>
      <c r="K236">
        <v>2</v>
      </c>
      <c r="L236">
        <v>2</v>
      </c>
    </row>
    <row r="237" spans="9:12" x14ac:dyDescent="0.2">
      <c r="I237">
        <v>134.5</v>
      </c>
      <c r="K237">
        <v>2</v>
      </c>
      <c r="L237">
        <v>2</v>
      </c>
    </row>
    <row r="238" spans="9:12" x14ac:dyDescent="0.2">
      <c r="I238">
        <v>135.63329999999999</v>
      </c>
      <c r="J238">
        <v>1</v>
      </c>
      <c r="K238">
        <v>2</v>
      </c>
      <c r="L238">
        <v>3</v>
      </c>
    </row>
    <row r="239" spans="9:12" x14ac:dyDescent="0.2">
      <c r="I239">
        <v>146.52080000000001</v>
      </c>
      <c r="K239">
        <v>2</v>
      </c>
      <c r="L239">
        <v>2</v>
      </c>
    </row>
    <row r="240" spans="9:12" x14ac:dyDescent="0.2">
      <c r="I240">
        <v>151.55000000000001</v>
      </c>
      <c r="J240">
        <v>2</v>
      </c>
      <c r="K240">
        <v>2</v>
      </c>
      <c r="L240">
        <v>4</v>
      </c>
    </row>
    <row r="241" spans="9:12" x14ac:dyDescent="0.2">
      <c r="I241">
        <v>153.46250000000001</v>
      </c>
      <c r="J241">
        <v>1</v>
      </c>
      <c r="K241">
        <v>2</v>
      </c>
      <c r="L241">
        <v>3</v>
      </c>
    </row>
    <row r="242" spans="9:12" x14ac:dyDescent="0.2">
      <c r="I242">
        <v>164.86670000000001</v>
      </c>
      <c r="K242">
        <v>2</v>
      </c>
      <c r="L242">
        <v>2</v>
      </c>
    </row>
    <row r="243" spans="9:12" x14ac:dyDescent="0.2">
      <c r="I243">
        <v>211.33750000000001</v>
      </c>
      <c r="K243">
        <v>3</v>
      </c>
      <c r="L243">
        <v>3</v>
      </c>
    </row>
    <row r="244" spans="9:12" x14ac:dyDescent="0.2">
      <c r="I244">
        <v>211.5</v>
      </c>
      <c r="J244">
        <v>1</v>
      </c>
      <c r="L244">
        <v>1</v>
      </c>
    </row>
    <row r="245" spans="9:12" x14ac:dyDescent="0.2">
      <c r="I245">
        <v>221.7792</v>
      </c>
      <c r="J245">
        <v>1</v>
      </c>
      <c r="L245">
        <v>1</v>
      </c>
    </row>
    <row r="246" spans="9:12" x14ac:dyDescent="0.2">
      <c r="I246">
        <v>227.52500000000001</v>
      </c>
      <c r="J246">
        <v>1</v>
      </c>
      <c r="K246">
        <v>3</v>
      </c>
      <c r="L246">
        <v>4</v>
      </c>
    </row>
    <row r="247" spans="9:12" x14ac:dyDescent="0.2">
      <c r="I247">
        <v>247.52080000000001</v>
      </c>
      <c r="J247">
        <v>1</v>
      </c>
      <c r="K247">
        <v>1</v>
      </c>
      <c r="L247">
        <v>2</v>
      </c>
    </row>
    <row r="248" spans="9:12" x14ac:dyDescent="0.2">
      <c r="I248">
        <v>262.375</v>
      </c>
      <c r="K248">
        <v>2</v>
      </c>
      <c r="L248">
        <v>2</v>
      </c>
    </row>
    <row r="249" spans="9:12" x14ac:dyDescent="0.2">
      <c r="I249">
        <v>263</v>
      </c>
      <c r="J249">
        <v>2</v>
      </c>
      <c r="K249">
        <v>2</v>
      </c>
      <c r="L249">
        <v>4</v>
      </c>
    </row>
    <row r="250" spans="9:12" x14ac:dyDescent="0.2">
      <c r="I250">
        <v>512.32920000000001</v>
      </c>
      <c r="K250">
        <v>3</v>
      </c>
      <c r="L250">
        <v>3</v>
      </c>
    </row>
  </sheetData>
  <mergeCells count="2">
    <mergeCell ref="N2:O2"/>
    <mergeCell ref="R2:S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train_with_analysis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2017-01-31T05:41:34Z</dcterms:created>
  <dcterms:modified xsi:type="dcterms:W3CDTF">2017-01-31T05:41:34Z</dcterms:modified>
</cp:coreProperties>
</file>